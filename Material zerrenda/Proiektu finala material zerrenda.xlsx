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al digitala" sheetId="1" r:id="rId4"/>
    <sheet state="visible" name="Pedal analogikoa" sheetId="2" r:id="rId5"/>
    <sheet state="visible" name="Kostuak" sheetId="3" r:id="rId6"/>
  </sheets>
  <definedNames/>
  <calcPr/>
</workbook>
</file>

<file path=xl/sharedStrings.xml><?xml version="1.0" encoding="utf-8"?>
<sst xmlns="http://schemas.openxmlformats.org/spreadsheetml/2006/main" count="138" uniqueCount="88">
  <si>
    <t xml:space="preserve">PROIEKTU FINALA </t>
  </si>
  <si>
    <t xml:space="preserve">MATERIALAREN ZERRENDA </t>
  </si>
  <si>
    <t>PEDAL DIGITALA</t>
  </si>
  <si>
    <t>OSAGAIAK</t>
  </si>
  <si>
    <t>KANTITATEA</t>
  </si>
  <si>
    <t>PREZIOA</t>
  </si>
  <si>
    <t>PREZIO TOTALA</t>
  </si>
  <si>
    <t>DAUKAGU?</t>
  </si>
  <si>
    <t>LINK</t>
  </si>
  <si>
    <t>Protoboard</t>
  </si>
  <si>
    <t>BAI</t>
  </si>
  <si>
    <t>Tensy 4.0</t>
  </si>
  <si>
    <t>teensy 4.0</t>
  </si>
  <si>
    <t xml:space="preserve">AudioShield </t>
  </si>
  <si>
    <t>AudioShield</t>
  </si>
  <si>
    <t>Potentziometroak (10k ohm)</t>
  </si>
  <si>
    <t>10k pot</t>
  </si>
  <si>
    <t>Potentziometro encoder</t>
  </si>
  <si>
    <t>encoder</t>
  </si>
  <si>
    <t>Pultsagailuak</t>
  </si>
  <si>
    <t>putsagailua</t>
  </si>
  <si>
    <t>Display LCD i2c</t>
  </si>
  <si>
    <t>display LCD</t>
  </si>
  <si>
    <t>Jack konektoreak</t>
  </si>
  <si>
    <t>jack konektorea</t>
  </si>
  <si>
    <t>Jack/minijack adaptadorea</t>
  </si>
  <si>
    <t>jack/minijack adaptagailua</t>
  </si>
  <si>
    <t>SD txartela (micro sd)</t>
  </si>
  <si>
    <t>EZ</t>
  </si>
  <si>
    <t>SD txartela</t>
  </si>
  <si>
    <t>Kaxa (hardware)</t>
  </si>
  <si>
    <t>Kaxa</t>
  </si>
  <si>
    <t>Erresistentziak(10K)</t>
  </si>
  <si>
    <t>R 10K</t>
  </si>
  <si>
    <t>Adaptadorea (bateria)</t>
  </si>
  <si>
    <t>bateria adaptadorea</t>
  </si>
  <si>
    <t>Bateria</t>
  </si>
  <si>
    <t>TOTALA</t>
  </si>
  <si>
    <t>PEDAL ANALOGIKOA</t>
  </si>
  <si>
    <t>Erresistentzia 100K</t>
  </si>
  <si>
    <t>100K</t>
  </si>
  <si>
    <t>Erresistentzia 33K</t>
  </si>
  <si>
    <t>33K</t>
  </si>
  <si>
    <t>Erresistentzia 1K3</t>
  </si>
  <si>
    <t>1K2</t>
  </si>
  <si>
    <t>Erresistentzia 1M</t>
  </si>
  <si>
    <t>1M</t>
  </si>
  <si>
    <t>Kondentsadorea 100pF</t>
  </si>
  <si>
    <t>100pF</t>
  </si>
  <si>
    <t>Kondentsadorea 0,22uF</t>
  </si>
  <si>
    <t>0.22uF</t>
  </si>
  <si>
    <t>Kondentsadorea 0,033uF</t>
  </si>
  <si>
    <t>0,033uF</t>
  </si>
  <si>
    <t>Kondentsadorea 10 nF</t>
  </si>
  <si>
    <t>10nF</t>
  </si>
  <si>
    <t>Kondentsadorea 100uF</t>
  </si>
  <si>
    <t>100uF</t>
  </si>
  <si>
    <t>Kondentsadorea 22 uF</t>
  </si>
  <si>
    <t>22uF</t>
  </si>
  <si>
    <t>Transistor BC108B</t>
  </si>
  <si>
    <t>BC108B</t>
  </si>
  <si>
    <t>Transistor BD140</t>
  </si>
  <si>
    <t>BD140</t>
  </si>
  <si>
    <t>Diode 1N4008</t>
  </si>
  <si>
    <t>DIODE</t>
  </si>
  <si>
    <t>Potentziometro 10k Lin</t>
  </si>
  <si>
    <t>Pot-10k Lin</t>
  </si>
  <si>
    <t>Potentziometro 100k Audio</t>
  </si>
  <si>
    <t>Pot - 100k Audio</t>
  </si>
  <si>
    <t>Potentziometro 1k Linear</t>
  </si>
  <si>
    <t>Pot - 1k Lineal</t>
  </si>
  <si>
    <t>Potentziometro 100k Linear</t>
  </si>
  <si>
    <t>Pot - 100k Lineal</t>
  </si>
  <si>
    <t>Pultsadorea</t>
  </si>
  <si>
    <t xml:space="preserve">Bateria </t>
  </si>
  <si>
    <t>Pila</t>
  </si>
  <si>
    <t>Adaptador bateria</t>
  </si>
  <si>
    <t>Adaptadorea (pila)</t>
  </si>
  <si>
    <t>Adaptador pila</t>
  </si>
  <si>
    <t>Jack konektorea (6.3mm)</t>
  </si>
  <si>
    <t>Jack</t>
  </si>
  <si>
    <t>LED diodoa</t>
  </si>
  <si>
    <t>LED</t>
  </si>
  <si>
    <t>Prezioa</t>
  </si>
  <si>
    <t>PROIEKTUAREN KOSTU TOTALA</t>
  </si>
  <si>
    <t>Pedal digitalaren kostu totala</t>
  </si>
  <si>
    <t>Eskatu beharreko materialaren kostua</t>
  </si>
  <si>
    <t>Pedal analogikoaren kostu totala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</si>
</sst>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#,##0.00&quot;€&quot;"/>
  </numFmts>
  <fonts count="8">
    <font>
      <sz val="10.0"/>
      <color rgb="FF000000"/>
      <name val="Arial"/>
      <scheme val="minor"/>
    </font>
    <font>
      <sz val="20.0"/>
      <color rgb="FF000000"/>
      <name val="Arial"/>
    </font>
    <font/>
    <font>
      <sz val="14.0"/>
      <color rgb="FF000000"/>
      <name val="Arial"/>
    </font>
    <font>
      <color theme="1"/>
      <name val="Arial"/>
    </font>
    <font>
      <u/>
      <color rgb="FF0000FF"/>
    </font>
    <font>
      <b/>
      <sz val="12.0"/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Border="1" applyFont="1"/>
    <xf borderId="8" fillId="0" fontId="2" numFmtId="0" xfId="0" applyBorder="1" applyFont="1"/>
    <xf borderId="9" fillId="0" fontId="2" numFmtId="0" xfId="0" applyBorder="1" applyFont="1"/>
    <xf borderId="0" fillId="3" fontId="4" numFmtId="0" xfId="0" applyFill="1" applyFont="1"/>
    <xf borderId="7" fillId="2" fontId="4" numFmtId="0" xfId="0" applyBorder="1" applyFont="1"/>
    <xf borderId="0" fillId="0" fontId="4" numFmtId="0" xfId="0" applyFont="1"/>
    <xf borderId="0" fillId="0" fontId="4" numFmtId="164" xfId="0" applyFont="1" applyNumberFormat="1"/>
    <xf borderId="0" fillId="0" fontId="5" numFmtId="0" xfId="0" applyFont="1"/>
    <xf borderId="0" fillId="0" fontId="6" numFmtId="0" xfId="0" applyFont="1"/>
    <xf borderId="0" fillId="0" fontId="4" numFmtId="165" xfId="0" applyFont="1" applyNumberForma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es/Omvial-Guitarra-Aluminio-Interruptor-120x94-5x34MM/dp/B0G2RJ5TB8/ref=sr_1_86?dib=eyJ2IjoiMSJ9.1iixk8SxQdVZln2t5DRSWWWkF53844_CIaZs_rhbcRPbXtQDSRLWFwUrZ_6m3nvMOLC0yX0pfiT3R6MgVwPpIAhN4m-YJV9wwvq9OWd4Avt07B_I1AOpTDtYGHgIV-EEgWOrcRmfNxavyvK83kJb9Lw-Ze-hg-AKGDExTl_icAKpeh5qSJCXl5hE82btyvgLrhepUBjqgRROuXvFl3ABpLIVoKMvgc2KgcD4QWaxA7B02aOL8q4cqteDYRkZ0IVmFRzyz07icsu-wwX3XlFawDADsD8wcSOZFel19xbBgvk.ndFkK4yCPqBvaIDnyVg_53CbzPMjFea3Fb1VexOwuvU&amp;dib_tag=se&amp;keywords=caja+pedales&amp;qid=1765890366&amp;sr=8-86" TargetMode="External"/><Relationship Id="rId10" Type="http://schemas.openxmlformats.org/officeDocument/2006/relationships/hyperlink" Target="https://es.rs-online.com/web/p/tarjetas-sd/1805818?cm_mmc=ES-PLA-DS3A-_-google-_-CSS_ES_ES_Pmax_CatchAll-_--_-1805818&amp;matchtype=&amp;&amp;gclsrc=aw.ds&amp;gad_source=1&amp;gad_campaignid=20152905064&amp;gbraid=0AAAAADkeWNMoCysbc7DgAhFBsOrLuD2LT&amp;gclid=Cj0KCQiAo4TKBhDRARIsAGW29bcpyNnVx6eLeWZ90kvThiJlc2IDk1UsoCB5vJxnznXkATsQvR9iOkkaAr_wEALw_wcB" TargetMode="External"/><Relationship Id="rId13" Type="http://schemas.openxmlformats.org/officeDocument/2006/relationships/hyperlink" Target="https://www.amazon.es/AZDelivery-Battery-Expansion-incluido-compatible/dp/B086W7326Q/ref=asc_df_B086W7326Q?mcid=72f4e01547b1350db5d1ccf307536511&amp;tag=googshopes-21&amp;linkCode=df0&amp;hvadid=699873900152&amp;hvpos=&amp;hvnetw=g&amp;hvrand=14095113739679548200&amp;hvpone=&amp;hvptwo=&amp;hvqmt=&amp;hvdev=c&amp;hvdvcmdl=&amp;hvlocint=&amp;hvlocphy=1005530&amp;hvtargid=pla-923153398733&amp;hvocijid=14095113739679548200-B086W7326Q-&amp;hvexpln=0&amp;th=1" TargetMode="External"/><Relationship Id="rId12" Type="http://schemas.openxmlformats.org/officeDocument/2006/relationships/hyperlink" Target="https://es.rs-online.com/web/p/resistencias-de-montaje-en-orificio-pasante/0131895?cm_mmc=ES-PLA-DS3A-_-google-_-CSS_ES_ES_Pmax_CatchAll-_--_-131895&amp;matchtype=&amp;&amp;gclsrc=aw.ds&amp;gad_source=1&amp;gad_campaignid=20152905064&amp;gbraid=0AAAAADkeWNMoCysbc7DgAhFBsOrLuD2LT&amp;gclid=Cj0KCQiAo4TKBhDRARIsAGW29bfvApmqie1qIMpjUVjA9eRpJaApMtQHZhfXYDcvXkvGfReju-5cYL0aAupCEALw_wcB" TargetMode="External"/><Relationship Id="rId1" Type="http://schemas.openxmlformats.org/officeDocument/2006/relationships/hyperlink" Target="https://es.farnell.com/multicomp-pro/mp-400pts-bb/placa-pruebas-sin-soldar-84mm/dp/4661645?gross_price=true&amp;CMP=KNC-GES-GEN-SHOPPING-PL&amp;gad_source=1&amp;gad_campaignid=20584544129&amp;gbraid=0AAAAAD8yeHnm7OVgNDjyQOVI-qOetjVCs&amp;gclid=Cj0KCQiAo4TKBhDRARIsAGW29bePTWyhRWP1_fAk-NCkx4EViMymHSfNzVGXSipuCGULdzBoSjZetxUaAqpwEALw_wcB" TargetMode="External"/><Relationship Id="rId2" Type="http://schemas.openxmlformats.org/officeDocument/2006/relationships/hyperlink" Target="https://tienda.bricogeek.com/teensy/1392-teensy-40.html?gad_source=1&amp;gad_campaignid=17337431439&amp;gbraid=0AAAAADkb14d4rkiD4u1bfnvbmAhAAp3UU&amp;gclid=Cj0KCQiAo4TKBhDRARIsAGW29bdXGTGirY7KpVIBGFyaXSe5vue-NuGtDQnowaFtSLa5OdHNVs4aYvEaAtr9EALw_wcB" TargetMode="External"/><Relationship Id="rId3" Type="http://schemas.openxmlformats.org/officeDocument/2006/relationships/hyperlink" Target="https://www.reichelt.com/es/es/shop/producto/teensy_shield_-_microsd_audio_f_teensy_4_0-275591?country=es&amp;CCTYPE=private&amp;LANGUAGE=es" TargetMode="External"/><Relationship Id="rId4" Type="http://schemas.openxmlformats.org/officeDocument/2006/relationships/hyperlink" Target="https://es.farnell.com/tt-electronics-bi-technologies/p160kn-0qd15b10k/rotary-potentiometer-10kohm-16mm/dp/1782728?gross_price=true&amp;CMP=KNC-GES-GEN-SHOPPING-Pmax-High_ROAS&amp;gad_source=1&amp;gad_campaignid=18071281895&amp;gbraid=0AAAAAD8yeHn2LIAvh2-U6ZyRYeoC3DQ1p&amp;gclid=Cj0KCQiAo4TKBhDRARIsAGW29bfl5IU2ZLfMPGnk8CnMEnaDy2xeXrV-lvsoWX-DWQGYwq8a10G9bPEaAiSgEALw_wcB" TargetMode="External"/><Relationship Id="rId9" Type="http://schemas.openxmlformats.org/officeDocument/2006/relationships/hyperlink" Target="https://www.thomann.es/seetronic_st231l_bg_35mm_jack_stereo.htm?gad_source=1&amp;gad_campaignid=1550876297&amp;gbraid=0AAAAADuDMCVGNY7PAHO37NZghoIi_yBjQ&amp;gclid=Cj0KCQiAo4TKBhDRARIsAGW29bfinyGrJsWdgNLuSUCshpG6JGfjzy2rG-OPNLueJSm9bj1zNt16r70aAoWlEALw_wcB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tienda.bricogeek.com/baterias-lipo/315-bateria-aa-recargable-nimh-2500mah.html?_gl=1*5myj6g*_up*MQ..*_gs*MQ..&amp;gclid=Cj0KCQiAo4TKBhDRARIsAGW29bcBR19tYLcEHNDpwjfylGyfQD99BdpYMS-Rw7znEYZ4VDfDiOiIp_gaAgTgEALw_wcB&amp;gbraid=0AAAAADkb14d4rkiD4u1bfnvbmAhAAp3UU" TargetMode="External"/><Relationship Id="rId5" Type="http://schemas.openxmlformats.org/officeDocument/2006/relationships/hyperlink" Target="https://es.farnell.com/alps/ec11e15244g1/encoder-vertical-11mm-30det-15ppr/dp/2064986?gross_price=true&amp;CMP=KNC-GES-GEN-SHOPPING-Pmax-High_ROAS&amp;gad_source=1&amp;gad_campaignid=18071281895&amp;gbraid=0AAAAAD8yeHn2LIAvh2-U6ZyRYeoC3DQ1p&amp;gclid=Cj0KCQiAo4TKBhDRARIsAGW29bf609dG4YqwNc2UXwVxypyhlRNUS6HOpNlCK2sBuOOe7mRYdCwohsUaAim1EALw_wcB" TargetMode="External"/><Relationship Id="rId6" Type="http://schemas.openxmlformats.org/officeDocument/2006/relationships/hyperlink" Target="https://es.rs-online.com/web/p/interruptores-tactiles/2693801?cm_mmc=ES-PLA-DS3A-_-google-_-CSS_ES_ES_Pmax_CatchAll-_--_-2693801&amp;matchtype=&amp;&amp;gclsrc=aw.ds&amp;gad_source=1&amp;gad_campaignid=20152905064&amp;gbraid=0AAAAADkeWNMoCysbc7DgAhFBsOrLuD2LT&amp;gclid=Cj0KCQiAo4TKBhDRARIsAGW29bdlaNAySnaDSNxOd4OOUyWhmG7O8fqZoOV0_FoL4sMIdEh8gf7NnTsaAthIEALw_wcB" TargetMode="External"/><Relationship Id="rId7" Type="http://schemas.openxmlformats.org/officeDocument/2006/relationships/hyperlink" Target="https://tienda.bricogeek.com/pantallas-lcd/1827-pantalla-lcd-16x2-con-modulo-i2c.html?gad_source=1&amp;gad_campaignid=17337431439&amp;gbraid=0AAAAADkb14d4rkiD4u1bfnvbmAhAAp3UU&amp;gclid=Cj0KCQiAo4TKBhDRARIsAGW29bdkPkMnW6A4Nxipadpe37vb0uq_VibIZbzdBGQdJfEdmAaktuo6IwQaAkkAEALw_wcB" TargetMode="External"/><Relationship Id="rId8" Type="http://schemas.openxmlformats.org/officeDocument/2006/relationships/hyperlink" Target="https://es.farnell.com/rean/nys229l/hembra-mono-audio-2p-6-35mm-panel/dp/4079604?gross_price=true&amp;CMP=KNC-GES-GEN-SHOPPING-Pmax-High_ROAS&amp;gad_source=1&amp;gad_campaignid=18071281895&amp;gbraid=0AAAAAD8yeHn2LIAvh2-U6ZyRYeoC3DQ1p&amp;gclid=Cj0KCQiAo4TKBhDRARIsAGW29bdkdb0LBz1NtlY4llLqKWjEBcuzs8bZzksAt4fKufyp44P5g66088kaAgBiEALw_wcB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es.farnell.com/energizer/7638900423204/pila-litio-9v-pp3/dp/4559206?gross_price=true&amp;CMP=KNC-GES-GEN-SHOPPING-Pmax-High_ROAS&amp;gad_source=1&amp;gad_campaignid=18071281895&amp;gbraid=0AAAAAD8yeHn2LIAvh2-U6ZyRYeoC3DQ1p&amp;gclid=Cj0KCQiAo4TKBhDRARIsAGW29be8hn1r1D67UV-cPmyBMSaSYZAouSGDh4T68Zifb8Fa77QhKw2o1HQaAk3pEALw_wcB" TargetMode="External"/><Relationship Id="rId22" Type="http://schemas.openxmlformats.org/officeDocument/2006/relationships/hyperlink" Target="https://www.cetronic.es/sqlcommerce/disenos/plantilla1/seccion/producto/DetalleProducto.jsp?idIdioma=&amp;idTienda=93&amp;codProducto=999618001&amp;cPath=975&amp;srsltid=AfmBOoq7aCUr7swyNWpZOUdJePeohozvJmV8Meyd3wmiACcGYsh61_XA" TargetMode="External"/><Relationship Id="rId21" Type="http://schemas.openxmlformats.org/officeDocument/2006/relationships/hyperlink" Target="https://www.aliexpress.com/p/tesla-landing/index.html?scenario=c_ppc_item_bridge&amp;productId=1005003688672124&amp;_immersiveMode=true&amp;withMainCard=true&amp;src=google&amp;aff_platform=true&amp;isdl=y&amp;src=google&amp;albch=shopping&amp;acnt=631-313-3945&amp;isdl=y&amp;slnk=&amp;plac=&amp;mtctp=&amp;albbt=Google_7_shopping&amp;aff_platform=google&amp;aff_short_key=UneMJZVf&amp;gclsrc=aw.ds&amp;&amp;albagn=888888&amp;&amp;ds_e_adid=&amp;ds_e_matchtype=&amp;ds_e_device=c&amp;ds_e_network=x&amp;ds_e_product_group_id=&amp;ds_e_product_id=es1005003688672124&amp;ds_e_product_merchant_id=109367426&amp;ds_e_product_country=ES&amp;ds_e_product_language=es&amp;ds_e_product_channel=online&amp;ds_e_product_store_id=&amp;ds_url_v=2&amp;albcp=19764771094&amp;albag=&amp;isSmbAutoCall=false&amp;needSmbHouyi=false&amp;gad_source=1&amp;gad_campaignid=19756144032&amp;gbraid=0AAAAACbpRIlstUXQ4-5Q9uaCXyP_FNIBh&amp;gclid=Cj0KCQiAo4TKBhDRARIsAGW29bdqekO-oiA7WJsGTNE022aeei-W8IRK_Tgfz02-J5kHse3lFhEsw8saAhzXEALw_wcB" TargetMode="External"/><Relationship Id="rId24" Type="http://schemas.openxmlformats.org/officeDocument/2006/relationships/hyperlink" Target="https://es.rs-online.com/web/p/leds/2285821?cm_mmc=ES-PLA-DS3A-_-google-_-CSS_ES_ES_Pmax_CatchAll-_--_-2285821&amp;matchtype=&amp;&amp;gclsrc=aw.ds&amp;gad_source=1&amp;gad_campaignid=20152905064&amp;gbraid=0AAAAADkeWNPXdiYHpYyoHsC_mV33fV4B8&amp;gclid=Cj0KCQiA6Y7KBhCkARIsAOxhqtOoNEhINbIoUMkioLhgWnX5idado9tpsfRq7_pa9xRippJtEu-YTS0aAivsEALw_wcB" TargetMode="External"/><Relationship Id="rId23" Type="http://schemas.openxmlformats.org/officeDocument/2006/relationships/hyperlink" Target="https://es.rs-online.com/web/p/conectores-jack-macho-y-hembra/1763384?gb=a" TargetMode="External"/><Relationship Id="rId1" Type="http://schemas.openxmlformats.org/officeDocument/2006/relationships/hyperlink" Target="https://es.farnell.com/multicomp-pro/mcf-1w-100k/res-100k-5-1w-axial-pel-c-carbonoo/dp/9337695?srsltid=AfmBOoqXEqrHKlPXiuvPicxdO2CNHSfXU73eaO73DpLQrHEHn11nkkns" TargetMode="External"/><Relationship Id="rId2" Type="http://schemas.openxmlformats.org/officeDocument/2006/relationships/hyperlink" Target="https://es.farnell.com/multicomp-pro/mf25-33k/res-33k-1-250mw-axial-pel-c-metal/dp/9341757?srsltid=AfmBOoqDVHMfcNShKIpCDhd4kK0CdxqMOXwLCAPm9ttQMwk5tHQF1" TargetMode="External"/><Relationship Id="rId3" Type="http://schemas.openxmlformats.org/officeDocument/2006/relationships/hyperlink" Target="https://es.farnell.com/multicomp-pro/mf25-1k2/res-1k2-1-250mw-axial-pel-c-metal/dp/9341226?srsltid=AfmBOorO37tdvhf2XKLNiGoNbe4Y5eGI7yFpugsKSB9K7aQKnrMsHskk" TargetMode="External"/><Relationship Id="rId4" Type="http://schemas.openxmlformats.org/officeDocument/2006/relationships/hyperlink" Target="https://es.farnell.com/multicomp/mf12-1m/res-1m-1-125mw-axial-pel-c-metal/dp/9342435?srsltid=AfmBOoojq2w3a8fCZldTEfhxiERyVTH1D2c9ZrTJXJe77vgQ5MpAdTNs" TargetMode="External"/><Relationship Id="rId9" Type="http://schemas.openxmlformats.org/officeDocument/2006/relationships/hyperlink" Target="https://www.amazon.es/Condensadores-Electrol%C3%ADticos-Capacitancia-Alimentaci%C3%B3n-Electr%C3%B3nicos/dp/B07SYZT17L/ref=pd_lpo_d_sccl_2/523-6021453-4125407?pd_rd_w=wvGTh&amp;content-id=amzn1.sym.dbff13a3-ec7b-4ab4-a8ad-e4356fa2bfdb&amp;pf_rd_p=dbff13a3-ec7b-4ab4-a8ad-e4356fa2bfdb&amp;pf_rd_r=YYR8Y5X7CNFV7VXKV32B&amp;pd_rd_wg=iqnw5&amp;pd_rd_r=35c3d097-735d-437d-85d1-ce6ac584b6d0&amp;pd_rd_i=B07SYZT17L&amp;psc=1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es.rs-online.com/web/p/condensadores-ceramicos-multicapa/8523217" TargetMode="External"/><Relationship Id="rId6" Type="http://schemas.openxmlformats.org/officeDocument/2006/relationships/hyperlink" Target="https://www.amazon.es/0-22UF-Condensador-Cer%C3%A1mico-Monol%C3%ADtico-multicapa/dp/B08JC9NCG8" TargetMode="External"/><Relationship Id="rId7" Type="http://schemas.openxmlformats.org/officeDocument/2006/relationships/hyperlink" Target="https://www.tme.eu/es/details/cc-33_100/condensadores-ceramicos/sr-passives/?brutto=1&amp;currency=EUR&amp;utm_source=google&amp;utm_medium=cpc&amp;utm_campaign=HISZPANIA%20%5BPLA%5D%20CSS&amp;gad_source=1&amp;gad_campaignid=9753781580&amp;gbraid=0AAAAADyylhKoTEaBr5LSlD5syCPXyyeZu&amp;gclid=Cj0KCQiAo4TKBhDRARIsAGW29bel8x6s78TX0vHGX-ZIGP5LjFonjkC6sfnRDSTrlFXGSWrOKPJMftsaAjpZEALw_wcB" TargetMode="External"/><Relationship Id="rId8" Type="http://schemas.openxmlformats.org/officeDocument/2006/relationships/hyperlink" Target="https://www.amazon.es/ALLECIN-Condensador-Monol%C3%ADtico-Condensadores-Monol%C3%ADticos/dp/B0DFWNJLXQ/ref=sr_1_1_sspa?dib=eyJ2IjoiMSJ9.ptI-9oPFOxjKXxjceJp0Xsm-XF3WSmY_9vNxjxwCQ6aVjMf1HO1RRC-s6KUOTTga3SI-sKk6j0LH2V84lAnROMoCPPArK_WT0O3ey-zasT4V3sXlUUrspK_r8CMipinutnTpEU1JgQmO8ylo3ZcBDRGTD0PcU_LHmrLtmGGwHEVCAP_b6ro8LV-jCMXRfESddwe99QXpwjQSxa6gHAAFYzhPAAfQWJfy3rtTZ_UZCQ5PR7VW90gMDJQEtAhZhGceUddEidyLYkvUZn1GfxRXSc_2Uj9hCkQkamcdWBG7IXA.3Z99iXxnoTiR8b6hOPckL8VkRlJz2AYVVaXK0TDxipo&amp;dib_tag=se&amp;keywords=condensador%2B10nf&amp;qid=1765881603&amp;sr=8-1-spons&amp;aref=HQTyMGJo6k&amp;sp_csd=d2lkZ2V0TmFtZT1zcF9hdGY&amp;th=1" TargetMode="External"/><Relationship Id="rId11" Type="http://schemas.openxmlformats.org/officeDocument/2006/relationships/hyperlink" Target="https://es.farnell.com/multicomp-pro/bc108b/transistor-npn-to-18/dp/9206744?gross_price=true&amp;CMP=KNC-GES-GEN-SHOPPING-PL&amp;gad_source=1&amp;gad_campaignid=20584544129&amp;gbraid=0AAAAAD8yeHnm7OVgNDjyQOVI-qOetjVCs&amp;gclid=Cj0KCQiAo4TKBhDRARIsAGW29bcfBm7jUTa6QMCFbW2i_yUjzv4R0TEbSANoaHSqoPwHtZnox9_JkwYaAuNCEALw_wcB" TargetMode="External"/><Relationship Id="rId10" Type="http://schemas.openxmlformats.org/officeDocument/2006/relationships/hyperlink" Target="https://www.amazon.es/Cables-Electrol%C3%ADticos-Axiales-Capacitores-Polarizados/dp/B07R7TM613" TargetMode="External"/><Relationship Id="rId13" Type="http://schemas.openxmlformats.org/officeDocument/2006/relationships/hyperlink" Target="https://es.farnell.com/vishay/1n4007-e3-54/rectificador-1kv-1a-do-41/dp/2547224?gross_price=true&amp;CMP=KNC-GES-GEN-SHOPPING-Pmax-High_ROAS&amp;gad_source=1&amp;gad_campaignid=18071281895&amp;gbraid=0AAAAAD8yeHn2LIAvh2-U6ZyRYeoC3DQ1p&amp;gclid=Cj0KCQiAo4TKBhDRARIsAGW29bdTZ_IgCe8XrFXgggLpMDwI7mQwS8iluTWJaZMUTSrJBC_OGkrbAQYaAkQkEALw_wcB" TargetMode="External"/><Relationship Id="rId12" Type="http://schemas.openxmlformats.org/officeDocument/2006/relationships/hyperlink" Target="https://es.farnell.com/stmicroelectronics/bd140/transistor-bjt-pnp-80v-1-5a-sot32/dp/2341704" TargetMode="External"/><Relationship Id="rId15" Type="http://schemas.openxmlformats.org/officeDocument/2006/relationships/hyperlink" Target="https://es.rs-online.com/web/p/potenciometros/5225248" TargetMode="External"/><Relationship Id="rId14" Type="http://schemas.openxmlformats.org/officeDocument/2006/relationships/hyperlink" Target="https://shop.complubot.com/potenciometro-circular-de-10k-lin-2-uidades-p-1-50-191/" TargetMode="External"/><Relationship Id="rId17" Type="http://schemas.openxmlformats.org/officeDocument/2006/relationships/hyperlink" Target="https://es.farnell.com/bourns/pdb182-k220k-104b/panel-control-1-turn-100k/dp/1689955?srsltid=AfmBOopwT7yT78skAfehfp-JJHJBdYLsczjXagnTjcMFiduKbD7Sd_PQ" TargetMode="External"/><Relationship Id="rId16" Type="http://schemas.openxmlformats.org/officeDocument/2006/relationships/hyperlink" Target="https://www.electrocomponentes.es/una-vuelta/95-potenciometro-lineal-b1k-15mm-025w.html" TargetMode="External"/><Relationship Id="rId19" Type="http://schemas.openxmlformats.org/officeDocument/2006/relationships/hyperlink" Target="https://es.farnell.com/energizer/7638900361094/bater-a-alcalina-ind-9v-paquete/dp/4559178?gross_price=true&amp;CMP=KNC-GES-GEN-SHOPPING-Pmax-High_ROAS&amp;gad_source=1&amp;gad_campaignid=18071281895&amp;gbraid=0AAAAAD8yeHn2LIAvh2-U6ZyRYeoC3DQ1p&amp;gclid=Cj0KCQiAo4TKBhDRARIsAGW29bcPJtUaTAYQWKQ1YOelBXqW1bbxlfFr3KO8q7fjBpcc97_yHMxLRa4aAmdPEALw_wcB" TargetMode="External"/><Relationship Id="rId18" Type="http://schemas.openxmlformats.org/officeDocument/2006/relationships/hyperlink" Target="https://es.rs-online.com/web/p/interruptores-tactiles/2693801?cm_mmc=ES-PLA-DS3A-_-google-_-CSS_ES_ES_Pmax_CatchAll-_--_-2693801&amp;matchtype=&amp;&amp;gclsrc=aw.ds&amp;gad_source=1&amp;gad_campaignid=20152905064&amp;gbraid=0AAAAADkeWNMoCysbc7DgAhFBsOrLuD2LT&amp;gclid=Cj0KCQiAo4TKBhDRARIsAGW29bcWqYs6P_klF8D0CIq0-cIiY3fx3FeGYamvvZ16BM1Apye3lqqV-mMaAq_OEALw_wcB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0"/>
    <col customWidth="1" min="2" max="3" width="12.63"/>
    <col customWidth="1" min="4" max="4" width="14.13"/>
    <col customWidth="1" min="5" max="6" width="12.63"/>
    <col customWidth="1" min="7" max="7" width="21.88"/>
    <col customWidth="1" min="8" max="8" width="24.38"/>
    <col customWidth="1" min="10" max="10" width="14.13"/>
  </cols>
  <sheetData>
    <row r="1" ht="15.75" customHeight="1">
      <c r="A1" s="1" t="s">
        <v>0</v>
      </c>
      <c r="B1" s="2"/>
      <c r="C1" s="2"/>
      <c r="D1" s="2"/>
      <c r="E1" s="3"/>
    </row>
    <row r="2" ht="15.75" customHeight="1">
      <c r="A2" s="4"/>
      <c r="B2" s="5"/>
      <c r="C2" s="5"/>
      <c r="D2" s="5"/>
      <c r="E2" s="6"/>
    </row>
    <row r="3" ht="15.75" customHeight="1">
      <c r="A3" s="7" t="s">
        <v>1</v>
      </c>
      <c r="B3" s="8"/>
      <c r="C3" s="8"/>
      <c r="D3" s="8"/>
      <c r="E3" s="9"/>
    </row>
    <row r="4" ht="15.75" customHeight="1">
      <c r="A4" s="10"/>
      <c r="B4" s="10"/>
      <c r="C4" s="10"/>
      <c r="D4" s="10"/>
    </row>
    <row r="5" ht="15.75" customHeight="1">
      <c r="A5" s="11" t="s">
        <v>2</v>
      </c>
      <c r="B5" s="8"/>
      <c r="C5" s="8"/>
      <c r="D5" s="8"/>
      <c r="E5" s="8"/>
      <c r="F5" s="9"/>
      <c r="G5" s="10"/>
      <c r="H5" s="10"/>
      <c r="I5" s="10"/>
      <c r="J5" s="10"/>
      <c r="K5" s="10"/>
      <c r="L5" s="10"/>
      <c r="M5" s="10"/>
    </row>
    <row r="6" ht="15.75" customHeight="1">
      <c r="A6" s="12" t="s">
        <v>3</v>
      </c>
      <c r="B6" s="12" t="s">
        <v>4</v>
      </c>
      <c r="C6" s="12" t="s">
        <v>5</v>
      </c>
      <c r="D6" s="12" t="s">
        <v>6</v>
      </c>
      <c r="E6" s="12" t="s">
        <v>7</v>
      </c>
      <c r="F6" s="12" t="s">
        <v>8</v>
      </c>
    </row>
    <row r="7" ht="15.75" customHeight="1">
      <c r="A7" s="12" t="s">
        <v>9</v>
      </c>
      <c r="B7" s="12">
        <v>1.0</v>
      </c>
      <c r="C7" s="13">
        <v>35.97</v>
      </c>
      <c r="D7" s="13">
        <v>35.97</v>
      </c>
      <c r="E7" s="12" t="s">
        <v>10</v>
      </c>
      <c r="F7" s="14" t="s">
        <v>9</v>
      </c>
      <c r="J7" s="13"/>
      <c r="M7" s="12"/>
    </row>
    <row r="8" ht="15.75" customHeight="1">
      <c r="A8" s="12" t="s">
        <v>11</v>
      </c>
      <c r="B8" s="12">
        <v>1.0</v>
      </c>
      <c r="C8" s="13">
        <v>29.95</v>
      </c>
      <c r="D8" s="13">
        <v>29.95</v>
      </c>
      <c r="E8" s="12" t="s">
        <v>10</v>
      </c>
      <c r="F8" s="14" t="s">
        <v>12</v>
      </c>
      <c r="J8" s="13"/>
      <c r="M8" s="12"/>
    </row>
    <row r="9" ht="15.75" customHeight="1">
      <c r="A9" s="12" t="s">
        <v>13</v>
      </c>
      <c r="B9" s="12">
        <v>1.0</v>
      </c>
      <c r="C9" s="13">
        <v>18.25</v>
      </c>
      <c r="D9" s="13">
        <v>18.25</v>
      </c>
      <c r="E9" s="12" t="s">
        <v>10</v>
      </c>
      <c r="F9" s="14" t="s">
        <v>14</v>
      </c>
      <c r="J9" s="13"/>
      <c r="M9" s="12"/>
    </row>
    <row r="10" ht="15.75" customHeight="1">
      <c r="A10" s="12" t="s">
        <v>15</v>
      </c>
      <c r="B10" s="12">
        <v>3.0</v>
      </c>
      <c r="C10" s="13">
        <v>2.89</v>
      </c>
      <c r="D10" s="13">
        <f>B10*C10</f>
        <v>8.67</v>
      </c>
      <c r="E10" s="12" t="s">
        <v>10</v>
      </c>
      <c r="F10" s="14" t="s">
        <v>16</v>
      </c>
      <c r="J10" s="13"/>
      <c r="M10" s="12"/>
    </row>
    <row r="11" ht="15.75" customHeight="1">
      <c r="A11" s="12" t="s">
        <v>17</v>
      </c>
      <c r="B11" s="12">
        <v>1.0</v>
      </c>
      <c r="C11" s="13">
        <v>5.49</v>
      </c>
      <c r="D11" s="13">
        <v>5.59</v>
      </c>
      <c r="E11" s="12" t="s">
        <v>10</v>
      </c>
      <c r="F11" s="14" t="s">
        <v>18</v>
      </c>
      <c r="J11" s="13"/>
      <c r="M11" s="12"/>
    </row>
    <row r="12" ht="15.75" customHeight="1">
      <c r="A12" s="12" t="s">
        <v>19</v>
      </c>
      <c r="B12" s="12">
        <v>4.0</v>
      </c>
      <c r="C12" s="13">
        <v>0.35</v>
      </c>
      <c r="D12" s="13">
        <f>B12*C12</f>
        <v>1.4</v>
      </c>
      <c r="E12" s="12" t="s">
        <v>10</v>
      </c>
      <c r="F12" s="14" t="s">
        <v>20</v>
      </c>
      <c r="J12" s="13"/>
      <c r="M12" s="12"/>
    </row>
    <row r="13" ht="15.75" customHeight="1">
      <c r="A13" s="12" t="s">
        <v>21</v>
      </c>
      <c r="B13" s="12">
        <v>1.0</v>
      </c>
      <c r="C13" s="13">
        <v>4.95</v>
      </c>
      <c r="D13" s="13">
        <v>4.95</v>
      </c>
      <c r="E13" s="12" t="s">
        <v>10</v>
      </c>
      <c r="F13" s="14" t="s">
        <v>22</v>
      </c>
      <c r="J13" s="13"/>
      <c r="M13" s="12"/>
    </row>
    <row r="14" ht="15.75" customHeight="1">
      <c r="A14" s="12" t="s">
        <v>23</v>
      </c>
      <c r="B14" s="12">
        <v>2.0</v>
      </c>
      <c r="C14" s="13">
        <v>1.92</v>
      </c>
      <c r="D14" s="13">
        <f t="shared" ref="D14:D15" si="1">B14*C14</f>
        <v>3.84</v>
      </c>
      <c r="E14" s="12" t="s">
        <v>10</v>
      </c>
      <c r="F14" s="14" t="s">
        <v>24</v>
      </c>
      <c r="J14" s="13"/>
      <c r="M14" s="12"/>
    </row>
    <row r="15" ht="15.75" customHeight="1">
      <c r="A15" s="12" t="s">
        <v>25</v>
      </c>
      <c r="B15" s="12">
        <v>2.0</v>
      </c>
      <c r="C15" s="13">
        <v>3.9</v>
      </c>
      <c r="D15" s="13">
        <f t="shared" si="1"/>
        <v>7.8</v>
      </c>
      <c r="E15" s="12" t="s">
        <v>10</v>
      </c>
      <c r="F15" s="14" t="s">
        <v>26</v>
      </c>
      <c r="J15" s="13"/>
      <c r="M15" s="12"/>
    </row>
    <row r="16" ht="15.75" customHeight="1">
      <c r="A16" s="12" t="s">
        <v>27</v>
      </c>
      <c r="B16" s="12">
        <v>1.0</v>
      </c>
      <c r="C16" s="13">
        <v>10.41</v>
      </c>
      <c r="D16" s="13">
        <v>10.41</v>
      </c>
      <c r="E16" s="12" t="s">
        <v>28</v>
      </c>
      <c r="F16" s="14" t="s">
        <v>29</v>
      </c>
      <c r="J16" s="13"/>
      <c r="M16" s="12"/>
    </row>
    <row r="17" ht="15.75" customHeight="1">
      <c r="A17" s="12" t="s">
        <v>30</v>
      </c>
      <c r="B17" s="12">
        <v>1.0</v>
      </c>
      <c r="C17" s="13">
        <v>24.32</v>
      </c>
      <c r="D17" s="13">
        <f t="shared" ref="D17:D20" si="2">B17*C17</f>
        <v>24.32</v>
      </c>
      <c r="E17" s="12" t="s">
        <v>28</v>
      </c>
      <c r="F17" s="14" t="s">
        <v>31</v>
      </c>
      <c r="J17" s="13"/>
      <c r="M17" s="12"/>
    </row>
    <row r="18" ht="15.75" customHeight="1">
      <c r="A18" s="12" t="s">
        <v>32</v>
      </c>
      <c r="B18" s="12">
        <v>4.0</v>
      </c>
      <c r="C18" s="13">
        <v>1.38</v>
      </c>
      <c r="D18" s="13">
        <f t="shared" si="2"/>
        <v>5.52</v>
      </c>
      <c r="E18" s="12" t="s">
        <v>10</v>
      </c>
      <c r="F18" s="14" t="s">
        <v>33</v>
      </c>
      <c r="J18" s="13"/>
      <c r="M18" s="12"/>
    </row>
    <row r="19" ht="15.75" customHeight="1">
      <c r="A19" s="12" t="s">
        <v>34</v>
      </c>
      <c r="B19" s="12">
        <v>1.0</v>
      </c>
      <c r="C19" s="13">
        <v>8.99</v>
      </c>
      <c r="D19" s="13">
        <f t="shared" si="2"/>
        <v>8.99</v>
      </c>
      <c r="E19" s="12" t="s">
        <v>28</v>
      </c>
      <c r="F19" s="14" t="s">
        <v>35</v>
      </c>
      <c r="H19" s="12"/>
      <c r="J19" s="13"/>
      <c r="M19" s="12"/>
    </row>
    <row r="20" ht="15.75" customHeight="1">
      <c r="A20" s="12" t="s">
        <v>36</v>
      </c>
      <c r="B20" s="12">
        <v>1.0</v>
      </c>
      <c r="C20" s="13">
        <v>3.5</v>
      </c>
      <c r="D20" s="13">
        <f t="shared" si="2"/>
        <v>3.5</v>
      </c>
      <c r="E20" s="12" t="s">
        <v>28</v>
      </c>
      <c r="F20" s="14" t="s">
        <v>36</v>
      </c>
      <c r="J20" s="13"/>
      <c r="M20" s="12"/>
    </row>
    <row r="21" ht="15.75" customHeight="1">
      <c r="J21" s="13"/>
      <c r="M21" s="12"/>
    </row>
    <row r="22" ht="15.75" customHeight="1">
      <c r="A22" s="15" t="s">
        <v>37</v>
      </c>
      <c r="B22" s="13">
        <f>SUM(D7:D20)</f>
        <v>169.16</v>
      </c>
      <c r="J22" s="13"/>
      <c r="M22" s="12"/>
    </row>
    <row r="23" ht="15.75" customHeight="1">
      <c r="J23" s="13"/>
      <c r="M23" s="12"/>
    </row>
    <row r="24" ht="15.75" customHeight="1">
      <c r="J24" s="13"/>
      <c r="M24" s="12"/>
    </row>
    <row r="25" ht="15.75" customHeight="1">
      <c r="J25" s="13"/>
      <c r="M25" s="12"/>
    </row>
    <row r="26" ht="15.75" customHeight="1">
      <c r="J26" s="13"/>
      <c r="M26" s="12"/>
    </row>
    <row r="27" ht="15.75" customHeight="1">
      <c r="J27" s="13"/>
      <c r="K27" s="16"/>
      <c r="M27" s="12"/>
    </row>
    <row r="28" ht="15.75" customHeight="1">
      <c r="J28" s="13"/>
      <c r="M28" s="12"/>
    </row>
    <row r="29" ht="15.75" customHeight="1">
      <c r="J29" s="13"/>
      <c r="M29" s="12"/>
    </row>
    <row r="30" ht="15.75" customHeight="1"/>
    <row r="31" ht="15.75" customHeight="1">
      <c r="H31" s="1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2"/>
    <mergeCell ref="A3:E3"/>
    <mergeCell ref="A5:F5"/>
    <mergeCell ref="B22:D22"/>
  </mergeCells>
  <hyperlinks>
    <hyperlink r:id="rId1" ref="F7"/>
    <hyperlink r:id="rId2" ref="F8"/>
    <hyperlink r:id="rId3" ref="F9"/>
    <hyperlink r:id="rId4" ref="F10"/>
    <hyperlink r:id="rId5" ref="F11"/>
    <hyperlink r:id="rId6" ref="F12"/>
    <hyperlink r:id="rId7" ref="F13"/>
    <hyperlink r:id="rId8" ref="F14"/>
    <hyperlink r:id="rId9" ref="F15"/>
    <hyperlink r:id="rId10" ref="F16"/>
    <hyperlink r:id="rId11" ref="F17"/>
    <hyperlink r:id="rId12" ref="F18"/>
    <hyperlink r:id="rId13" ref="F19"/>
    <hyperlink r:id="rId14" ref="F20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3" width="12.63"/>
    <col customWidth="1" min="4" max="4" width="22.0"/>
    <col customWidth="1" min="5" max="6" width="12.63"/>
  </cols>
  <sheetData>
    <row r="1" ht="15.75" customHeight="1"/>
    <row r="2" ht="15.75" customHeight="1"/>
    <row r="3" ht="15.75" customHeight="1">
      <c r="A3" s="11" t="s">
        <v>38</v>
      </c>
      <c r="B3" s="8"/>
      <c r="C3" s="8"/>
      <c r="D3" s="8"/>
      <c r="E3" s="8"/>
      <c r="F3" s="9"/>
    </row>
    <row r="4" ht="15.75" customHeight="1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</row>
    <row r="5" ht="15.75" customHeight="1">
      <c r="A5" s="12" t="s">
        <v>39</v>
      </c>
      <c r="B5" s="12">
        <v>50.0</v>
      </c>
      <c r="C5" s="13">
        <v>0.14</v>
      </c>
      <c r="D5" s="13">
        <f t="shared" ref="D5:D24" si="1">B5*C5</f>
        <v>7</v>
      </c>
      <c r="E5" s="12" t="s">
        <v>10</v>
      </c>
      <c r="F5" s="14" t="s">
        <v>40</v>
      </c>
    </row>
    <row r="6" ht="15.75" customHeight="1">
      <c r="A6" s="12" t="s">
        <v>41</v>
      </c>
      <c r="B6" s="12">
        <v>50.0</v>
      </c>
      <c r="C6" s="13">
        <v>0.062</v>
      </c>
      <c r="D6" s="13">
        <f t="shared" si="1"/>
        <v>3.1</v>
      </c>
      <c r="E6" s="12" t="s">
        <v>10</v>
      </c>
      <c r="F6" s="14" t="s">
        <v>42</v>
      </c>
    </row>
    <row r="7" ht="15.75" customHeight="1">
      <c r="A7" s="12" t="s">
        <v>43</v>
      </c>
      <c r="B7" s="12">
        <v>50.0</v>
      </c>
      <c r="C7" s="13">
        <v>0.064</v>
      </c>
      <c r="D7" s="13">
        <f t="shared" si="1"/>
        <v>3.2</v>
      </c>
      <c r="E7" s="12" t="s">
        <v>10</v>
      </c>
      <c r="F7" s="14" t="s">
        <v>44</v>
      </c>
    </row>
    <row r="8" ht="15.75" customHeight="1">
      <c r="A8" s="12" t="s">
        <v>45</v>
      </c>
      <c r="B8" s="12">
        <v>50.0</v>
      </c>
      <c r="C8" s="13">
        <v>0.052</v>
      </c>
      <c r="D8" s="13">
        <f t="shared" si="1"/>
        <v>2.6</v>
      </c>
      <c r="E8" s="12" t="s">
        <v>10</v>
      </c>
      <c r="F8" s="14" t="s">
        <v>46</v>
      </c>
    </row>
    <row r="9" ht="15.75" customHeight="1">
      <c r="A9" s="12" t="s">
        <v>47</v>
      </c>
      <c r="B9" s="12">
        <v>20.0</v>
      </c>
      <c r="C9" s="13">
        <v>0.16</v>
      </c>
      <c r="D9" s="13">
        <f t="shared" si="1"/>
        <v>3.2</v>
      </c>
      <c r="E9" s="12" t="s">
        <v>10</v>
      </c>
      <c r="F9" s="14" t="s">
        <v>48</v>
      </c>
    </row>
    <row r="10" ht="15.75" customHeight="1">
      <c r="A10" s="12" t="s">
        <v>49</v>
      </c>
      <c r="B10" s="12">
        <v>100.0</v>
      </c>
      <c r="C10" s="13">
        <v>0.0242</v>
      </c>
      <c r="D10" s="13">
        <f t="shared" si="1"/>
        <v>2.42</v>
      </c>
      <c r="E10" s="12" t="s">
        <v>10</v>
      </c>
      <c r="F10" s="14" t="s">
        <v>50</v>
      </c>
    </row>
    <row r="11" ht="15.75" customHeight="1">
      <c r="A11" s="12" t="s">
        <v>51</v>
      </c>
      <c r="B11" s="12">
        <v>100.0</v>
      </c>
      <c r="C11" s="13">
        <v>0.024</v>
      </c>
      <c r="D11" s="13">
        <f t="shared" si="1"/>
        <v>2.4</v>
      </c>
      <c r="E11" s="12" t="s">
        <v>10</v>
      </c>
      <c r="F11" s="14" t="s">
        <v>52</v>
      </c>
    </row>
    <row r="12" ht="15.75" customHeight="1">
      <c r="A12" s="12" t="s">
        <v>53</v>
      </c>
      <c r="B12" s="12">
        <v>103.0</v>
      </c>
      <c r="C12" s="13">
        <v>0.077</v>
      </c>
      <c r="D12" s="13">
        <f t="shared" si="1"/>
        <v>7.931</v>
      </c>
      <c r="E12" s="12" t="s">
        <v>10</v>
      </c>
      <c r="F12" s="14" t="s">
        <v>54</v>
      </c>
    </row>
    <row r="13" ht="15.75" customHeight="1">
      <c r="A13" s="12" t="s">
        <v>55</v>
      </c>
      <c r="B13" s="12">
        <v>10.0</v>
      </c>
      <c r="C13" s="13">
        <v>1.43</v>
      </c>
      <c r="D13" s="13">
        <f t="shared" si="1"/>
        <v>14.3</v>
      </c>
      <c r="E13" s="12" t="s">
        <v>10</v>
      </c>
      <c r="F13" s="14" t="s">
        <v>56</v>
      </c>
    </row>
    <row r="14" ht="15.75" customHeight="1">
      <c r="A14" s="12" t="s">
        <v>57</v>
      </c>
      <c r="B14" s="12">
        <v>20.0</v>
      </c>
      <c r="C14" s="13">
        <v>0.7</v>
      </c>
      <c r="D14" s="13">
        <f t="shared" si="1"/>
        <v>14</v>
      </c>
      <c r="E14" s="12" t="s">
        <v>10</v>
      </c>
      <c r="F14" s="14" t="s">
        <v>58</v>
      </c>
    </row>
    <row r="15" ht="15.75" customHeight="1">
      <c r="A15" s="12" t="s">
        <v>59</v>
      </c>
      <c r="B15" s="12">
        <v>10.0</v>
      </c>
      <c r="C15" s="13">
        <v>1.15</v>
      </c>
      <c r="D15" s="13">
        <f t="shared" si="1"/>
        <v>11.5</v>
      </c>
      <c r="E15" s="12" t="s">
        <v>28</v>
      </c>
      <c r="F15" s="14" t="s">
        <v>60</v>
      </c>
    </row>
    <row r="16" ht="15.75" customHeight="1">
      <c r="A16" s="12" t="s">
        <v>61</v>
      </c>
      <c r="B16" s="12">
        <v>10.0</v>
      </c>
      <c r="C16" s="13">
        <v>0.822</v>
      </c>
      <c r="D16" s="13">
        <f t="shared" si="1"/>
        <v>8.22</v>
      </c>
      <c r="E16" s="12" t="s">
        <v>10</v>
      </c>
      <c r="F16" s="14" t="s">
        <v>62</v>
      </c>
    </row>
    <row r="17" ht="15.75" customHeight="1">
      <c r="A17" s="12" t="s">
        <v>63</v>
      </c>
      <c r="B17" s="12">
        <v>10.0</v>
      </c>
      <c r="C17" s="13">
        <v>0.232</v>
      </c>
      <c r="D17" s="13">
        <f t="shared" si="1"/>
        <v>2.32</v>
      </c>
      <c r="E17" s="12" t="s">
        <v>28</v>
      </c>
      <c r="F17" s="14" t="s">
        <v>64</v>
      </c>
    </row>
    <row r="18" ht="15.75" customHeight="1">
      <c r="A18" s="12" t="s">
        <v>65</v>
      </c>
      <c r="B18" s="12">
        <v>2.0</v>
      </c>
      <c r="C18" s="13">
        <v>0.945</v>
      </c>
      <c r="D18" s="13">
        <f t="shared" si="1"/>
        <v>1.89</v>
      </c>
      <c r="E18" s="12" t="s">
        <v>10</v>
      </c>
      <c r="F18" s="14" t="s">
        <v>66</v>
      </c>
    </row>
    <row r="19" ht="15.75" customHeight="1">
      <c r="A19" s="12" t="s">
        <v>67</v>
      </c>
      <c r="B19" s="12">
        <v>1.0</v>
      </c>
      <c r="C19" s="13">
        <v>9.38</v>
      </c>
      <c r="D19" s="13">
        <f t="shared" si="1"/>
        <v>9.38</v>
      </c>
      <c r="E19" s="12" t="s">
        <v>28</v>
      </c>
      <c r="F19" s="14" t="s">
        <v>68</v>
      </c>
    </row>
    <row r="20" ht="15.75" customHeight="1">
      <c r="A20" s="12" t="s">
        <v>69</v>
      </c>
      <c r="B20" s="12">
        <v>1.0</v>
      </c>
      <c r="C20" s="13">
        <v>0.59</v>
      </c>
      <c r="D20" s="13">
        <f t="shared" si="1"/>
        <v>0.59</v>
      </c>
      <c r="E20" s="12" t="s">
        <v>28</v>
      </c>
      <c r="F20" s="14" t="s">
        <v>70</v>
      </c>
    </row>
    <row r="21" ht="15.75" customHeight="1">
      <c r="A21" s="12" t="s">
        <v>71</v>
      </c>
      <c r="B21" s="12">
        <v>1.0</v>
      </c>
      <c r="C21" s="13">
        <v>2.1</v>
      </c>
      <c r="D21" s="13">
        <f t="shared" si="1"/>
        <v>2.1</v>
      </c>
      <c r="E21" s="12" t="s">
        <v>28</v>
      </c>
      <c r="F21" s="14" t="s">
        <v>72</v>
      </c>
    </row>
    <row r="22" ht="15.75" customHeight="1">
      <c r="A22" s="12" t="s">
        <v>73</v>
      </c>
      <c r="B22" s="12">
        <v>10.0</v>
      </c>
      <c r="C22" s="13">
        <v>0.29</v>
      </c>
      <c r="D22" s="13">
        <f t="shared" si="1"/>
        <v>2.9</v>
      </c>
      <c r="E22" s="12" t="s">
        <v>10</v>
      </c>
      <c r="F22" s="14" t="s">
        <v>73</v>
      </c>
    </row>
    <row r="23" ht="15.75" customHeight="1">
      <c r="A23" s="12" t="s">
        <v>74</v>
      </c>
      <c r="B23" s="12">
        <v>1.0</v>
      </c>
      <c r="C23" s="13">
        <v>39.43</v>
      </c>
      <c r="D23" s="13">
        <f t="shared" si="1"/>
        <v>39.43</v>
      </c>
      <c r="E23" s="12" t="s">
        <v>10</v>
      </c>
      <c r="F23" s="14" t="s">
        <v>36</v>
      </c>
    </row>
    <row r="24" ht="15.75" customHeight="1">
      <c r="A24" s="12" t="s">
        <v>75</v>
      </c>
      <c r="B24" s="12">
        <v>1.0</v>
      </c>
      <c r="C24" s="13">
        <v>93.96</v>
      </c>
      <c r="D24" s="13">
        <f t="shared" si="1"/>
        <v>93.96</v>
      </c>
      <c r="E24" s="12" t="s">
        <v>10</v>
      </c>
      <c r="F24" s="14" t="s">
        <v>75</v>
      </c>
    </row>
    <row r="25" ht="15.75" customHeight="1">
      <c r="A25" s="12" t="s">
        <v>34</v>
      </c>
      <c r="B25" s="12">
        <v>10.0</v>
      </c>
      <c r="C25" s="13">
        <v>0.99</v>
      </c>
      <c r="D25" s="16">
        <v>9.9</v>
      </c>
      <c r="E25" s="12" t="s">
        <v>28</v>
      </c>
      <c r="F25" s="14" t="s">
        <v>76</v>
      </c>
    </row>
    <row r="26" ht="15.75" customHeight="1">
      <c r="A26" s="12" t="s">
        <v>77</v>
      </c>
      <c r="B26" s="12">
        <v>1.0</v>
      </c>
      <c r="C26" s="13">
        <v>2.09</v>
      </c>
      <c r="D26" s="13">
        <f t="shared" ref="D26:D27" si="2">B26*C26</f>
        <v>2.09</v>
      </c>
      <c r="E26" s="12" t="s">
        <v>28</v>
      </c>
      <c r="F26" s="14" t="s">
        <v>78</v>
      </c>
    </row>
    <row r="27" ht="15.75" customHeight="1">
      <c r="A27" s="12" t="s">
        <v>79</v>
      </c>
      <c r="B27" s="12">
        <v>2.0</v>
      </c>
      <c r="C27" s="13">
        <v>3.64</v>
      </c>
      <c r="D27" s="13">
        <f t="shared" si="2"/>
        <v>7.28</v>
      </c>
      <c r="E27" s="12" t="s">
        <v>28</v>
      </c>
      <c r="F27" s="14" t="s">
        <v>80</v>
      </c>
    </row>
    <row r="28" ht="15.75" customHeight="1">
      <c r="A28" s="17" t="s">
        <v>81</v>
      </c>
      <c r="B28" s="17">
        <v>1.0</v>
      </c>
      <c r="C28" s="18">
        <v>0.56</v>
      </c>
      <c r="D28" s="18">
        <v>0.56</v>
      </c>
      <c r="E28" s="17" t="s">
        <v>10</v>
      </c>
      <c r="F28" s="19" t="s">
        <v>82</v>
      </c>
    </row>
    <row r="29" ht="15.75" customHeight="1">
      <c r="A29" s="15" t="s">
        <v>37</v>
      </c>
      <c r="E29" s="12" t="s">
        <v>83</v>
      </c>
      <c r="F29" s="13">
        <f>SUM(D5:D28)</f>
        <v>252.271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F3"/>
  </mergeCells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  <hyperlink r:id="rId15" ref="F19"/>
    <hyperlink r:id="rId16" ref="F20"/>
    <hyperlink r:id="rId17" ref="F21"/>
    <hyperlink r:id="rId18" ref="F22"/>
    <hyperlink r:id="rId19" ref="F23"/>
    <hyperlink r:id="rId20" ref="F24"/>
    <hyperlink r:id="rId21" ref="F25"/>
    <hyperlink r:id="rId22" ref="F26"/>
    <hyperlink r:id="rId23" ref="F27"/>
    <hyperlink r:id="rId24" ref="F28"/>
  </hyperlinks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6" width="12.63"/>
  </cols>
  <sheetData>
    <row r="1" ht="15.75" customHeight="1">
      <c r="A1" s="12" t="s">
        <v>84</v>
      </c>
      <c r="B1" s="13">
        <f>SUM(B3,B6)</f>
        <v>421.431</v>
      </c>
    </row>
    <row r="2" ht="15.75" customHeight="1"/>
    <row r="3" ht="15.75" customHeight="1">
      <c r="A3" s="12" t="s">
        <v>85</v>
      </c>
      <c r="B3" s="13">
        <f>'Pedal digitala'!B22</f>
        <v>169.16</v>
      </c>
    </row>
    <row r="4" ht="15.75" customHeight="1">
      <c r="A4" s="12" t="s">
        <v>86</v>
      </c>
      <c r="B4" s="13">
        <f>SUM('Pedal digitala'!D16,'Pedal digitala'!D17,'Pedal digitala'!D19,'Pedal digitala'!D20)</f>
        <v>47.22</v>
      </c>
    </row>
    <row r="5" ht="15.75" customHeight="1"/>
    <row r="6" ht="15.75" customHeight="1">
      <c r="A6" s="12" t="s">
        <v>87</v>
      </c>
      <c r="B6" s="13">
        <f>'Pedal analogikoa'!F29</f>
        <v>252.271</v>
      </c>
    </row>
    <row r="7" ht="15.75" customHeight="1">
      <c r="A7" s="12" t="s">
        <v>86</v>
      </c>
      <c r="B7" s="13">
        <f>SUM('Pedal analogikoa'!D15,'Pedal analogikoa'!D17,'Pedal analogikoa'!D19,'Pedal analogikoa'!D20,'Pedal analogikoa'!D21,'Pedal analogikoa'!D25,'Pedal analogikoa'!D26,'Pedal analogikoa'!D27)</f>
        <v>45.16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